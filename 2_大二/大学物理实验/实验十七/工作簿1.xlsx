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00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<sst xmlns="http://schemas.openxmlformats.org/spreadsheetml/2006/main" count="15" uniqueCount="9">
  <si>
    <r>
      <rPr>
        <b/>
        <sz val="11"/>
        <color theme="1"/>
        <rFont val="宋体"/>
        <charset val="134"/>
        <scheme val="minor"/>
      </rPr>
      <t>U</t>
    </r>
    <r>
      <rPr>
        <b/>
        <sz val="6"/>
        <color theme="1"/>
        <rFont val="宋体"/>
        <charset val="134"/>
        <scheme val="minor"/>
      </rPr>
      <t>H</t>
    </r>
  </si>
  <si>
    <r>
      <rPr>
        <b/>
        <sz val="11"/>
        <color theme="1"/>
        <rFont val="宋体"/>
        <charset val="134"/>
        <scheme val="minor"/>
      </rPr>
      <t>U</t>
    </r>
    <r>
      <rPr>
        <b/>
        <sz val="6"/>
        <color theme="1"/>
        <rFont val="宋体"/>
        <charset val="134"/>
        <scheme val="minor"/>
      </rPr>
      <t>B</t>
    </r>
  </si>
  <si>
    <t>B</t>
  </si>
  <si>
    <t>H</t>
  </si>
  <si>
    <t>μ</t>
  </si>
  <si>
    <t>制图用</t>
  </si>
  <si>
    <t>磁滞回线</t>
  </si>
  <si>
    <t>样品1</t>
  </si>
  <si>
    <t>样品2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</si>
</sst>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E7D2A"/>
      <color rgb="00ED7721"/>
      <color rgb="00E46B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  <a:r>
              <a:rPr lang="en-US" altLang="zh-CN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</a:rPr>
              <a:t>B-H, μ-H </a:t>
            </a:r>
            <a:r>
              <a:rPr altLang="en-US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</a:rPr>
              <a:t>曲线</a:t>
            </a:r>
            <a:endParaRPr lang="en-US" altLang="zh-CN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MiSans" panose="00000500000000000000" charset="-122"/>
              <a:ea typeface="微软雅黑" panose="020B0503020204020204" charset="-122"/>
            </a:endParaRPr>
          </a:p>
        </c:rich>
      </c:tx>
      <c:layout>
        <c:manualLayout>
          <c:xMode val="edge"/>
          <c:yMode val="edge"/>
          <c:x val="0.414362980769231"/>
          <c:y val="0.01905669366364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Sheet1!$D$25</c:f>
              <c:strCache>
                <c:ptCount val="1"/>
                <c:pt idx="0">
                  <c:v>B</c:v>
                </c:pt>
              </c:strCache>
            </c:strRef>
          </c:tx>
          <c:spPr>
            <a:ln w="19050" cap="flat" cmpd="sng">
              <a:solidFill>
                <a:schemeClr val="accent1">
                  <a:alpha val="80000"/>
                </a:schemeClr>
              </a:solidFill>
              <a:round/>
              <a:tailEnd type="none"/>
            </a:ln>
            <a:effectLst>
              <a:outerShdw blurRad="50800" dist="38100" dir="2700000" algn="tl" rotWithShape="0">
                <a:schemeClr val="accent1">
                  <a:lumMod val="50000"/>
                  <a:alpha val="40000"/>
                </a:schemeClr>
              </a:outerShdw>
            </a:effectLst>
          </c:spPr>
          <c:marker>
            <c:symbol val="diamond"/>
            <c:size val="8"/>
            <c:spPr>
              <a:solidFill>
                <a:schemeClr val="bg1"/>
              </a:solidFill>
              <a:ln w="31750" cmpd="thinThick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Sheet1!$C$26:$C$45</c:f>
              <c:numCache>
                <c:formatCode>General</c:formatCode>
                <c:ptCount val="20"/>
                <c:pt idx="0">
                  <c:v>3</c:v>
                </c:pt>
                <c:pt idx="1">
                  <c:v>23.6666666666667</c:v>
                </c:pt>
                <c:pt idx="2">
                  <c:v>50.6666666666667</c:v>
                </c:pt>
                <c:pt idx="3">
                  <c:v>72</c:v>
                </c:pt>
                <c:pt idx="4">
                  <c:v>99.3333333333333</c:v>
                </c:pt>
                <c:pt idx="5">
                  <c:v>121.666666666667</c:v>
                </c:pt>
                <c:pt idx="6">
                  <c:v>143.333333333333</c:v>
                </c:pt>
                <c:pt idx="7">
                  <c:v>168.333333333333</c:v>
                </c:pt>
                <c:pt idx="8">
                  <c:v>189.666666666667</c:v>
                </c:pt>
                <c:pt idx="9">
                  <c:v>209.666666666667</c:v>
                </c:pt>
                <c:pt idx="10">
                  <c:v>234</c:v>
                </c:pt>
                <c:pt idx="11">
                  <c:v>254</c:v>
                </c:pt>
                <c:pt idx="12">
                  <c:v>276.666666666667</c:v>
                </c:pt>
                <c:pt idx="13">
                  <c:v>301</c:v>
                </c:pt>
                <c:pt idx="14">
                  <c:v>319.333333333333</c:v>
                </c:pt>
                <c:pt idx="15">
                  <c:v>337</c:v>
                </c:pt>
                <c:pt idx="16">
                  <c:v>356.666666666667</c:v>
                </c:pt>
                <c:pt idx="17">
                  <c:v>378.666666666667</c:v>
                </c:pt>
                <c:pt idx="18">
                  <c:v>403</c:v>
                </c:pt>
                <c:pt idx="19">
                  <c:v>421</c:v>
                </c:pt>
              </c:numCache>
            </c:numRef>
          </c:xVal>
          <c:yVal>
            <c:numRef>
              <c:f>Sheet1!$D$26:$D$45</c:f>
              <c:numCache>
                <c:formatCode>General</c:formatCode>
                <c:ptCount val="20"/>
                <c:pt idx="0">
                  <c:v>0.0075</c:v>
                </c:pt>
                <c:pt idx="1">
                  <c:v>0.1305</c:v>
                </c:pt>
                <c:pt idx="2">
                  <c:v>0.303</c:v>
                </c:pt>
                <c:pt idx="3">
                  <c:v>0.4095</c:v>
                </c:pt>
                <c:pt idx="4">
                  <c:v>0.5115</c:v>
                </c:pt>
                <c:pt idx="5">
                  <c:v>0.579</c:v>
                </c:pt>
                <c:pt idx="6">
                  <c:v>0.6345</c:v>
                </c:pt>
                <c:pt idx="7">
                  <c:v>0.6885</c:v>
                </c:pt>
                <c:pt idx="8">
                  <c:v>0.7275</c:v>
                </c:pt>
                <c:pt idx="9">
                  <c:v>0.7605</c:v>
                </c:pt>
                <c:pt idx="10">
                  <c:v>0.795</c:v>
                </c:pt>
                <c:pt idx="11">
                  <c:v>0.8205</c:v>
                </c:pt>
                <c:pt idx="12">
                  <c:v>0.846</c:v>
                </c:pt>
                <c:pt idx="13">
                  <c:v>0.8715</c:v>
                </c:pt>
                <c:pt idx="14">
                  <c:v>0.8895</c:v>
                </c:pt>
                <c:pt idx="15">
                  <c:v>0.903</c:v>
                </c:pt>
                <c:pt idx="16">
                  <c:v>0.9195</c:v>
                </c:pt>
                <c:pt idx="17">
                  <c:v>0.936</c:v>
                </c:pt>
                <c:pt idx="18">
                  <c:v>0.951</c:v>
                </c:pt>
                <c:pt idx="19">
                  <c:v>0.963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Sheet1!$E$25</c:f>
              <c:strCache>
                <c:ptCount val="1"/>
                <c:pt idx="0">
                  <c:v>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  <a:tailEnd type="none"/>
            </a:ln>
            <a:effectLst>
              <a:outerShdw blurRad="50800" dist="38100" dir="2700000" algn="tl" rotWithShape="0">
                <a:schemeClr val="accent2">
                  <a:lumMod val="50000"/>
                  <a:alpha val="40000"/>
                </a:schemeClr>
              </a:outerShdw>
            </a:effectLst>
          </c:spPr>
          <c:marker>
            <c:symbol val="diamond"/>
            <c:size val="8"/>
            <c:spPr>
              <a:solidFill>
                <a:schemeClr val="bg1"/>
              </a:solidFill>
              <a:ln w="31750" cmpd="thinThick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Sheet1!$C$26:$C$45</c:f>
              <c:numCache>
                <c:formatCode>General</c:formatCode>
                <c:ptCount val="20"/>
                <c:pt idx="0">
                  <c:v>3</c:v>
                </c:pt>
                <c:pt idx="1">
                  <c:v>23.6666666666667</c:v>
                </c:pt>
                <c:pt idx="2">
                  <c:v>50.6666666666667</c:v>
                </c:pt>
                <c:pt idx="3">
                  <c:v>72</c:v>
                </c:pt>
                <c:pt idx="4">
                  <c:v>99.3333333333333</c:v>
                </c:pt>
                <c:pt idx="5">
                  <c:v>121.666666666667</c:v>
                </c:pt>
                <c:pt idx="6">
                  <c:v>143.333333333333</c:v>
                </c:pt>
                <c:pt idx="7">
                  <c:v>168.333333333333</c:v>
                </c:pt>
                <c:pt idx="8">
                  <c:v>189.666666666667</c:v>
                </c:pt>
                <c:pt idx="9">
                  <c:v>209.666666666667</c:v>
                </c:pt>
                <c:pt idx="10">
                  <c:v>234</c:v>
                </c:pt>
                <c:pt idx="11">
                  <c:v>254</c:v>
                </c:pt>
                <c:pt idx="12">
                  <c:v>276.666666666667</c:v>
                </c:pt>
                <c:pt idx="13">
                  <c:v>301</c:v>
                </c:pt>
                <c:pt idx="14">
                  <c:v>319.333333333333</c:v>
                </c:pt>
                <c:pt idx="15">
                  <c:v>337</c:v>
                </c:pt>
                <c:pt idx="16">
                  <c:v>356.666666666667</c:v>
                </c:pt>
                <c:pt idx="17">
                  <c:v>378.666666666667</c:v>
                </c:pt>
                <c:pt idx="18">
                  <c:v>403</c:v>
                </c:pt>
                <c:pt idx="19">
                  <c:v>421</c:v>
                </c:pt>
              </c:numCache>
            </c:numRef>
          </c:xVal>
          <c:yVal>
            <c:numRef>
              <c:f>Sheet1!$E$26:$E$45</c:f>
              <c:numCache>
                <c:formatCode>General</c:formatCode>
                <c:ptCount val="20"/>
                <c:pt idx="0">
                  <c:v>0.25</c:v>
                </c:pt>
                <c:pt idx="1">
                  <c:v>0.551408450704225</c:v>
                </c:pt>
                <c:pt idx="2">
                  <c:v>0.598026315789474</c:v>
                </c:pt>
                <c:pt idx="3">
                  <c:v>0.56875</c:v>
                </c:pt>
                <c:pt idx="4">
                  <c:v>0.51493288590604</c:v>
                </c:pt>
                <c:pt idx="5">
                  <c:v>0.475890410958904</c:v>
                </c:pt>
                <c:pt idx="6">
                  <c:v>0.442674418604651</c:v>
                </c:pt>
                <c:pt idx="7">
                  <c:v>0.409009900990099</c:v>
                </c:pt>
                <c:pt idx="8">
                  <c:v>0.383567662565905</c:v>
                </c:pt>
                <c:pt idx="9">
                  <c:v>0.362718600953895</c:v>
                </c:pt>
                <c:pt idx="10">
                  <c:v>0.33974358974359</c:v>
                </c:pt>
                <c:pt idx="11">
                  <c:v>0.323031496062992</c:v>
                </c:pt>
                <c:pt idx="12">
                  <c:v>0.30578313253012</c:v>
                </c:pt>
                <c:pt idx="13">
                  <c:v>0.28953488372093</c:v>
                </c:pt>
                <c:pt idx="14">
                  <c:v>0.278549060542797</c:v>
                </c:pt>
                <c:pt idx="15">
                  <c:v>0.267952522255193</c:v>
                </c:pt>
                <c:pt idx="16">
                  <c:v>0.257803738317757</c:v>
                </c:pt>
                <c:pt idx="17">
                  <c:v>0.247183098591549</c:v>
                </c:pt>
                <c:pt idx="18">
                  <c:v>0.235980148883375</c:v>
                </c:pt>
                <c:pt idx="19">
                  <c:v>0.22874109263658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94081"/>
        <c:axId val="30160896"/>
      </c:scatterChart>
      <c:valAx>
        <c:axId val="899940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  <a:cs typeface="+mn-cs"/>
                  </a:defRPr>
                </a:pP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</a:rPr>
                  <a:t>  </a:t>
                </a: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MiSans" panose="00000500000000000000" charset="-122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  <c:crossAx val="30160896"/>
        <c:crosses val="autoZero"/>
        <c:crossBetween val="midCat"/>
      </c:valAx>
      <c:valAx>
        <c:axId val="301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  <a:cs typeface="+mn-cs"/>
                  </a:defRPr>
                </a:pP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</a:rPr>
                  <a:t> </a:t>
                </a: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MiSans" panose="00000500000000000000" charset="-122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  <c:crossAx val="8999408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50771233974359"/>
          <c:y val="0.11402255042083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MiSans" panose="00000500000000000000" charset="-122"/>
              <a:ea typeface="微软雅黑" panose="020B0503020204020204" charset="-122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latin typeface="MiSans" panose="00000500000000000000" charset="-122"/>
          <a:ea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</a:rPr>
              <a:t>磁滞回线</a:t>
            </a:r>
            <a:endParaRPr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MiSans" panose="00000500000000000000" charset="-122"/>
              <a:ea typeface="微软雅黑" panose="020B0503020204020204" charset="-122"/>
            </a:endParaRPr>
          </a:p>
        </c:rich>
      </c:tx>
      <c:layout>
        <c:manualLayout>
          <c:xMode val="edge"/>
          <c:yMode val="edge"/>
          <c:x val="0.427927927927928"/>
          <c:y val="0.02198252321135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Sheet1!$D$50</c:f>
              <c:strCache>
                <c:ptCount val="1"/>
                <c:pt idx="0">
                  <c:v>样品1</c:v>
                </c:pt>
              </c:strCache>
            </c:strRef>
          </c:tx>
          <c:spPr>
            <a:ln w="19050" cap="flat" cmpd="sng">
              <a:solidFill>
                <a:srgbClr val="E46B12"/>
              </a:solidFill>
              <a:prstDash val="sysDot"/>
              <a:round/>
              <a:tailEnd type="none"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2225">
                <a:solidFill>
                  <a:srgbClr val="EE822F"/>
                </a:solidFill>
              </a:ln>
              <a:effectLst/>
            </c:spPr>
          </c:marker>
          <c:dLbls>
            <c:delete val="1"/>
          </c:dLbls>
          <c:xVal>
            <c:numRef>
              <c:f>Sheet1!$C$51:$C$65</c:f>
              <c:numCache>
                <c:formatCode>General</c:formatCode>
                <c:ptCount val="15"/>
                <c:pt idx="0">
                  <c:v>0.495</c:v>
                </c:pt>
                <c:pt idx="1">
                  <c:v>0.315</c:v>
                </c:pt>
                <c:pt idx="2">
                  <c:v>0</c:v>
                </c:pt>
                <c:pt idx="3">
                  <c:v>-0.495</c:v>
                </c:pt>
                <c:pt idx="4">
                  <c:v>-0.315</c:v>
                </c:pt>
                <c:pt idx="5">
                  <c:v>0</c:v>
                </c:pt>
                <c:pt idx="6">
                  <c:v>0.495</c:v>
                </c:pt>
                <c:pt idx="8">
                  <c:v>0.705</c:v>
                </c:pt>
                <c:pt idx="9">
                  <c:v>0.24</c:v>
                </c:pt>
                <c:pt idx="10">
                  <c:v>0</c:v>
                </c:pt>
                <c:pt idx="11">
                  <c:v>-0.705</c:v>
                </c:pt>
                <c:pt idx="12">
                  <c:v>-0.24</c:v>
                </c:pt>
                <c:pt idx="13">
                  <c:v>0</c:v>
                </c:pt>
                <c:pt idx="14">
                  <c:v>0.705</c:v>
                </c:pt>
              </c:numCache>
            </c:numRef>
          </c:xVal>
          <c:yVal>
            <c:numRef>
              <c:f>Sheet1!$D$51:$D$65</c:f>
              <c:numCache>
                <c:formatCode>General</c:formatCode>
                <c:ptCount val="15"/>
                <c:pt idx="0">
                  <c:v>166.67</c:v>
                </c:pt>
                <c:pt idx="1">
                  <c:v>0</c:v>
                </c:pt>
                <c:pt idx="2">
                  <c:v>-100</c:v>
                </c:pt>
                <c:pt idx="3">
                  <c:v>-166.67</c:v>
                </c:pt>
                <c:pt idx="4">
                  <c:v>0</c:v>
                </c:pt>
                <c:pt idx="5">
                  <c:v>100</c:v>
                </c:pt>
                <c:pt idx="6">
                  <c:v>166.67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Sheet1!$E$50</c:f>
              <c:strCache>
                <c:ptCount val="1"/>
                <c:pt idx="0">
                  <c:v>样品2</c:v>
                </c:pt>
              </c:strCache>
            </c:strRef>
          </c:tx>
          <c:spPr>
            <a:ln w="19050" cap="rnd">
              <a:solidFill>
                <a:srgbClr val="4874CB"/>
              </a:solidFill>
              <a:prstDash val="sysDash"/>
              <a:round/>
              <a:tailEnd type="none"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2225">
                <a:solidFill>
                  <a:srgbClr val="4874CB">
                    <a:lumMod val="75000"/>
                  </a:srgbClr>
                </a:solidFill>
              </a:ln>
              <a:effectLst/>
            </c:spPr>
          </c:marker>
          <c:dLbls>
            <c:delete val="1"/>
          </c:dLbls>
          <c:xVal>
            <c:numRef>
              <c:f>Sheet1!$C$51:$C$65</c:f>
              <c:numCache>
                <c:formatCode>General</c:formatCode>
                <c:ptCount val="15"/>
                <c:pt idx="0">
                  <c:v>0.495</c:v>
                </c:pt>
                <c:pt idx="1">
                  <c:v>0.315</c:v>
                </c:pt>
                <c:pt idx="2">
                  <c:v>0</c:v>
                </c:pt>
                <c:pt idx="3">
                  <c:v>-0.495</c:v>
                </c:pt>
                <c:pt idx="4">
                  <c:v>-0.315</c:v>
                </c:pt>
                <c:pt idx="5">
                  <c:v>0</c:v>
                </c:pt>
                <c:pt idx="6">
                  <c:v>0.495</c:v>
                </c:pt>
                <c:pt idx="8">
                  <c:v>0.705</c:v>
                </c:pt>
                <c:pt idx="9">
                  <c:v>0.24</c:v>
                </c:pt>
                <c:pt idx="10">
                  <c:v>0</c:v>
                </c:pt>
                <c:pt idx="11">
                  <c:v>-0.705</c:v>
                </c:pt>
                <c:pt idx="12">
                  <c:v>-0.24</c:v>
                </c:pt>
                <c:pt idx="13">
                  <c:v>0</c:v>
                </c:pt>
                <c:pt idx="14">
                  <c:v>0.705</c:v>
                </c:pt>
              </c:numCache>
            </c:numRef>
          </c:xVal>
          <c:yVal>
            <c:numRef>
              <c:f>Sheet1!$E$51:$E$65</c:f>
              <c:numCache>
                <c:formatCode>General</c:formatCode>
                <c:ptCount val="15"/>
                <c:pt idx="8">
                  <c:v>180</c:v>
                </c:pt>
                <c:pt idx="9">
                  <c:v>0</c:v>
                </c:pt>
                <c:pt idx="10">
                  <c:v>-33.33</c:v>
                </c:pt>
                <c:pt idx="11">
                  <c:v>-180</c:v>
                </c:pt>
                <c:pt idx="12">
                  <c:v>0</c:v>
                </c:pt>
                <c:pt idx="13">
                  <c:v>33.33</c:v>
                </c:pt>
                <c:pt idx="14">
                  <c:v>180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479336"/>
        <c:axId val="958193769"/>
      </c:scatterChart>
      <c:valAx>
        <c:axId val="81747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  <a:alpha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 forceAA="0"/>
              <a:lstStyle/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  <a:cs typeface="+mn-cs"/>
                  </a:defRPr>
                </a:pP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</a:rPr>
                  <a:t>  </a:t>
                </a: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MiSans" panose="00000500000000000000" charset="-122"/>
                  <a:ea typeface="微软雅黑" panose="020B0503020204020204" charset="-122"/>
                </a:endParaRPr>
              </a:p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  <a:cs typeface="+mn-cs"/>
                  </a:defRPr>
                </a:pP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MiSans" panose="00000500000000000000" charset="-122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  <c:crossAx val="958193769"/>
        <c:crosses val="autoZero"/>
        <c:crossBetween val="midCat"/>
      </c:valAx>
      <c:valAx>
        <c:axId val="9581937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  <a:alpha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 forceAA="0"/>
              <a:lstStyle/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  <a:cs typeface="+mn-cs"/>
                  </a:defRPr>
                </a:pPr>
                <a:r>
                  <a:rPr lang="en-US" altLang="zh-CN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</a:rPr>
                  <a:t>   </a:t>
                </a: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MiSans" panose="00000500000000000000" charset="-122"/>
                  <a:ea typeface="微软雅黑" panose="020B0503020204020204" charset="-122"/>
                </a:endParaRPr>
              </a:p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MiSans" panose="00000500000000000000" charset="-122"/>
                    <a:ea typeface="微软雅黑" panose="020B0503020204020204" charset="-122"/>
                    <a:cs typeface="+mn-cs"/>
                  </a:defRPr>
                </a:pPr>
                <a:endParaRPr lang="en-US" altLang="zh-CN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MiSans" panose="00000500000000000000" charset="-122"/>
                  <a:ea typeface="微软雅黑" panose="020B0503020204020204" charset="-122"/>
                </a:endParaRPr>
              </a:p>
            </c:rich>
          </c:tx>
          <c:layout>
            <c:manualLayout>
              <c:xMode val="edge"/>
              <c:yMode val="edge"/>
              <c:x val="0.0244530244530245"/>
              <c:y val="0.4351037684325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  <c:crossAx val="817479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MiSans" panose="00000500000000000000" charset="-122"/>
                <a:ea typeface="微软雅黑" panose="020B0503020204020204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MiSans" panose="00000500000000000000" charset="-122"/>
              <a:ea typeface="微软雅黑" panose="020B0503020204020204" charset="-122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latin typeface="MiSans" panose="00000500000000000000" charset="-122"/>
          <a:ea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619760</xdr:colOff>
      <xdr:row>22</xdr:row>
      <xdr:rowOff>101600</xdr:rowOff>
    </xdr:from>
    <xdr:to>
      <xdr:col>15</xdr:col>
      <xdr:colOff>589280</xdr:colOff>
      <xdr:row>44</xdr:row>
      <xdr:rowOff>76200</xdr:rowOff>
    </xdr:to>
    <xdr:grpSp>
      <xdr:nvGrpSpPr>
        <xdr:cNvPr id="2" name="组合 1"/>
        <xdr:cNvGrpSpPr/>
      </xdr:nvGrpSpPr>
      <xdr:grpSpPr>
        <a:xfrm>
          <a:off x="3877945" y="4124960"/>
          <a:ext cx="6339840" cy="3997960"/>
          <a:chOff x="4960" y="5188"/>
          <a:chExt cx="9984" cy="6296"/>
        </a:xfrm>
      </xdr:grpSpPr>
      <xdr:graphicFrame>
        <xdr:nvGraphicFramePr>
          <xdr:cNvPr id="13" name="图表 12" descr="7b0a202020202263686172745265734964223a20223230343736313738220a7d0a"/>
          <xdr:cNvGraphicFramePr/>
        </xdr:nvGraphicFramePr>
        <xdr:xfrm>
          <a:off x="4960" y="5188"/>
          <a:ext cx="9984" cy="62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>
            <xdr:nvSpPr>
              <xdr:cNvPr id="1026" name="Object 2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>
              <a:xfrm>
                <a:off x="9504" y="10980"/>
                <a:ext cx="1160" cy="320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5418" y="5829"/>
                <a:ext cx="2480" cy="360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xdr:twoCellAnchor>
    <xdr:from>
      <xdr:col>6</xdr:col>
      <xdr:colOff>544195</xdr:colOff>
      <xdr:row>46</xdr:row>
      <xdr:rowOff>80010</xdr:rowOff>
    </xdr:from>
    <xdr:to>
      <xdr:col>15</xdr:col>
      <xdr:colOff>485140</xdr:colOff>
      <xdr:row>71</xdr:row>
      <xdr:rowOff>92710</xdr:rowOff>
    </xdr:to>
    <xdr:graphicFrame>
      <xdr:nvGraphicFramePr>
        <xdr:cNvPr id="10" name="图表 9" descr="7b0a202020202263686172745265734964223a20223230343736313830220a7d0a"/>
        <xdr:cNvGraphicFramePr/>
      </xdr:nvGraphicFramePr>
      <xdr:xfrm>
        <a:off x="4686300" y="8492490"/>
        <a:ext cx="5427345" cy="458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【1】">
    <a:dk1>
      <a:srgbClr val="000000"/>
    </a:dk1>
    <a:lt1>
      <a:srgbClr val="FFFFFF"/>
    </a:lt1>
    <a:dk2>
      <a:srgbClr val="0C0E1F"/>
    </a:dk2>
    <a:lt2>
      <a:srgbClr val="FEFFFF"/>
    </a:lt2>
    <a:accent1>
      <a:srgbClr val="4F81FF"/>
    </a:accent1>
    <a:accent2>
      <a:srgbClr val="16CC8A"/>
    </a:accent2>
    <a:accent3>
      <a:srgbClr val="FFC619"/>
    </a:accent3>
    <a:accent4>
      <a:srgbClr val="FF8041"/>
    </a:accent4>
    <a:accent5>
      <a:srgbClr val="F95F5F"/>
    </a:accent5>
    <a:accent6>
      <a:srgbClr val="A15CFF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【12】">
    <a:dk1>
      <a:srgbClr val="000000"/>
    </a:dk1>
    <a:lt1>
      <a:srgbClr val="FFFFFF"/>
    </a:lt1>
    <a:dk2>
      <a:srgbClr val="0C0E1F"/>
    </a:dk2>
    <a:lt2>
      <a:srgbClr val="FEFFFF"/>
    </a:lt2>
    <a:accent1>
      <a:srgbClr val="54C9FA"/>
    </a:accent1>
    <a:accent2>
      <a:srgbClr val="6C92FD"/>
    </a:accent2>
    <a:accent3>
      <a:srgbClr val="FF731F"/>
    </a:accent3>
    <a:accent4>
      <a:srgbClr val="16CC8A"/>
    </a:accent4>
    <a:accent5>
      <a:srgbClr val="FFC619"/>
    </a:accent5>
    <a:accent6>
      <a:srgbClr val="4F80FF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zoomScale="190" zoomScaleNormal="190" topLeftCell="A62" workbookViewId="0">
      <selection activeCell="G12" sqref="G12"/>
    </sheetView>
  </sheetViews>
  <sheetFormatPr defaultColWidth="8.88888888888889" defaultRowHeight="14.4" outlineLevelCol="7"/>
  <cols>
    <col min="1" max="1" width="5.55555555555556" customWidth="1"/>
    <col min="3" max="3" width="18.8888888888889" customWidth="1"/>
    <col min="4" max="4" width="7.68518518518519" customWidth="1"/>
    <col min="5" max="5" width="6.49074074074074" customWidth="1"/>
    <col min="6" max="6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1263</v>
      </c>
      <c r="B2" s="2">
        <v>64.2</v>
      </c>
      <c r="C2" s="2">
        <f t="shared" ref="C2:C21" si="0">18*B2/(150*8)</f>
        <v>0.963</v>
      </c>
      <c r="D2" s="2">
        <f t="shared" ref="D2:D21" si="1">50*A2/(60*2.5)</f>
        <v>421</v>
      </c>
      <c r="E2" s="2">
        <f t="shared" ref="E2:E21" si="2">(C2/D2)*100</f>
        <v>0.22874109263658</v>
      </c>
    </row>
    <row r="3" spans="1:5">
      <c r="A3" s="2">
        <v>1209</v>
      </c>
      <c r="B3" s="2">
        <v>63.4</v>
      </c>
      <c r="C3" s="2">
        <f t="shared" si="0"/>
        <v>0.951</v>
      </c>
      <c r="D3" s="2">
        <f t="shared" si="1"/>
        <v>403</v>
      </c>
      <c r="E3" s="2">
        <f t="shared" si="2"/>
        <v>0.235980148883375</v>
      </c>
    </row>
    <row r="4" spans="1:5">
      <c r="A4" s="2">
        <v>1136</v>
      </c>
      <c r="B4" s="2">
        <v>62.4</v>
      </c>
      <c r="C4" s="2">
        <f t="shared" si="0"/>
        <v>0.936</v>
      </c>
      <c r="D4" s="2">
        <f t="shared" si="1"/>
        <v>378.666666666667</v>
      </c>
      <c r="E4" s="2">
        <f t="shared" si="2"/>
        <v>0.247183098591549</v>
      </c>
    </row>
    <row r="5" spans="1:5">
      <c r="A5" s="2">
        <v>1070</v>
      </c>
      <c r="B5" s="2">
        <v>61.3</v>
      </c>
      <c r="C5" s="2">
        <f t="shared" si="0"/>
        <v>0.9195</v>
      </c>
      <c r="D5" s="2">
        <f t="shared" si="1"/>
        <v>356.666666666667</v>
      </c>
      <c r="E5" s="2">
        <f t="shared" si="2"/>
        <v>0.257803738317757</v>
      </c>
    </row>
    <row r="6" spans="1:5">
      <c r="A6" s="2">
        <v>1011</v>
      </c>
      <c r="B6" s="2">
        <v>60.2</v>
      </c>
      <c r="C6" s="2">
        <f t="shared" si="0"/>
        <v>0.903</v>
      </c>
      <c r="D6" s="2">
        <f t="shared" si="1"/>
        <v>337</v>
      </c>
      <c r="E6" s="2">
        <f t="shared" si="2"/>
        <v>0.267952522255193</v>
      </c>
    </row>
    <row r="7" spans="1:5">
      <c r="A7" s="2">
        <v>958</v>
      </c>
      <c r="B7" s="2">
        <v>59.3</v>
      </c>
      <c r="C7" s="2">
        <f t="shared" si="0"/>
        <v>0.8895</v>
      </c>
      <c r="D7" s="2">
        <f t="shared" si="1"/>
        <v>319.333333333333</v>
      </c>
      <c r="E7" s="2">
        <f t="shared" si="2"/>
        <v>0.278549060542797</v>
      </c>
    </row>
    <row r="8" spans="1:5">
      <c r="A8" s="2">
        <v>903</v>
      </c>
      <c r="B8" s="2">
        <v>58.1</v>
      </c>
      <c r="C8" s="2">
        <f t="shared" si="0"/>
        <v>0.8715</v>
      </c>
      <c r="D8" s="2">
        <f t="shared" si="1"/>
        <v>301</v>
      </c>
      <c r="E8" s="2">
        <f t="shared" si="2"/>
        <v>0.28953488372093</v>
      </c>
    </row>
    <row r="9" spans="1:5">
      <c r="A9" s="2">
        <v>830</v>
      </c>
      <c r="B9" s="2">
        <v>56.4</v>
      </c>
      <c r="C9" s="2">
        <f t="shared" si="0"/>
        <v>0.846</v>
      </c>
      <c r="D9" s="2">
        <f t="shared" si="1"/>
        <v>276.666666666667</v>
      </c>
      <c r="E9" s="2">
        <f t="shared" si="2"/>
        <v>0.30578313253012</v>
      </c>
    </row>
    <row r="10" spans="1:5">
      <c r="A10" s="2">
        <v>762</v>
      </c>
      <c r="B10" s="2">
        <v>54.7</v>
      </c>
      <c r="C10" s="2">
        <f t="shared" si="0"/>
        <v>0.8205</v>
      </c>
      <c r="D10" s="2">
        <f t="shared" si="1"/>
        <v>254</v>
      </c>
      <c r="E10" s="2">
        <f t="shared" si="2"/>
        <v>0.323031496062992</v>
      </c>
    </row>
    <row r="11" spans="1:5">
      <c r="A11" s="2">
        <v>702</v>
      </c>
      <c r="B11" s="2">
        <v>53</v>
      </c>
      <c r="C11" s="2">
        <f t="shared" si="0"/>
        <v>0.795</v>
      </c>
      <c r="D11" s="2">
        <f t="shared" si="1"/>
        <v>234</v>
      </c>
      <c r="E11" s="2">
        <f t="shared" si="2"/>
        <v>0.33974358974359</v>
      </c>
    </row>
    <row r="12" spans="1:5">
      <c r="A12" s="2">
        <v>629</v>
      </c>
      <c r="B12" s="2">
        <v>50.7</v>
      </c>
      <c r="C12" s="2">
        <f t="shared" si="0"/>
        <v>0.7605</v>
      </c>
      <c r="D12" s="2">
        <f t="shared" si="1"/>
        <v>209.666666666667</v>
      </c>
      <c r="E12" s="2">
        <f t="shared" si="2"/>
        <v>0.362718600953895</v>
      </c>
    </row>
    <row r="13" spans="1:5">
      <c r="A13" s="2">
        <v>569</v>
      </c>
      <c r="B13" s="2">
        <v>48.5</v>
      </c>
      <c r="C13" s="2">
        <f t="shared" si="0"/>
        <v>0.7275</v>
      </c>
      <c r="D13" s="2">
        <f t="shared" si="1"/>
        <v>189.666666666667</v>
      </c>
      <c r="E13" s="2">
        <f t="shared" si="2"/>
        <v>0.383567662565905</v>
      </c>
    </row>
    <row r="14" spans="1:5">
      <c r="A14" s="2">
        <v>505</v>
      </c>
      <c r="B14" s="2">
        <v>45.9</v>
      </c>
      <c r="C14" s="2">
        <f t="shared" si="0"/>
        <v>0.6885</v>
      </c>
      <c r="D14" s="2">
        <f t="shared" si="1"/>
        <v>168.333333333333</v>
      </c>
      <c r="E14" s="2">
        <f t="shared" si="2"/>
        <v>0.409009900990099</v>
      </c>
    </row>
    <row r="15" spans="1:5">
      <c r="A15" s="2">
        <v>430</v>
      </c>
      <c r="B15" s="2">
        <v>42.3</v>
      </c>
      <c r="C15" s="2">
        <f t="shared" si="0"/>
        <v>0.6345</v>
      </c>
      <c r="D15" s="2">
        <f t="shared" si="1"/>
        <v>143.333333333333</v>
      </c>
      <c r="E15" s="2">
        <f t="shared" si="2"/>
        <v>0.442674418604651</v>
      </c>
    </row>
    <row r="16" spans="1:5">
      <c r="A16" s="2">
        <v>365</v>
      </c>
      <c r="B16" s="2">
        <v>38.6</v>
      </c>
      <c r="C16" s="2">
        <f t="shared" si="0"/>
        <v>0.579</v>
      </c>
      <c r="D16" s="2">
        <f t="shared" si="1"/>
        <v>121.666666666667</v>
      </c>
      <c r="E16" s="2">
        <f t="shared" si="2"/>
        <v>0.475890410958904</v>
      </c>
    </row>
    <row r="17" spans="1:5">
      <c r="A17" s="2">
        <v>298</v>
      </c>
      <c r="B17" s="2">
        <v>34.1</v>
      </c>
      <c r="C17" s="2">
        <f t="shared" si="0"/>
        <v>0.5115</v>
      </c>
      <c r="D17" s="2">
        <f t="shared" si="1"/>
        <v>99.3333333333333</v>
      </c>
      <c r="E17" s="2">
        <f t="shared" si="2"/>
        <v>0.51493288590604</v>
      </c>
    </row>
    <row r="18" spans="1:5">
      <c r="A18" s="2">
        <v>216</v>
      </c>
      <c r="B18" s="2">
        <v>27.3</v>
      </c>
      <c r="C18" s="2">
        <f t="shared" si="0"/>
        <v>0.4095</v>
      </c>
      <c r="D18" s="2">
        <f t="shared" si="1"/>
        <v>72</v>
      </c>
      <c r="E18" s="2">
        <f t="shared" si="2"/>
        <v>0.56875</v>
      </c>
    </row>
    <row r="19" spans="1:5">
      <c r="A19" s="2">
        <v>152</v>
      </c>
      <c r="B19" s="2">
        <v>20.2</v>
      </c>
      <c r="C19" s="2">
        <f t="shared" si="0"/>
        <v>0.303</v>
      </c>
      <c r="D19" s="2">
        <f t="shared" si="1"/>
        <v>50.6666666666667</v>
      </c>
      <c r="E19" s="2">
        <f t="shared" si="2"/>
        <v>0.598026315789474</v>
      </c>
    </row>
    <row r="20" spans="1:5">
      <c r="A20" s="2">
        <v>71</v>
      </c>
      <c r="B20" s="2">
        <v>8.7</v>
      </c>
      <c r="C20" s="2">
        <f t="shared" si="0"/>
        <v>0.1305</v>
      </c>
      <c r="D20" s="2">
        <f t="shared" si="1"/>
        <v>23.6666666666667</v>
      </c>
      <c r="E20" s="2">
        <f t="shared" si="2"/>
        <v>0.551408450704225</v>
      </c>
    </row>
    <row r="21" spans="1:5">
      <c r="A21" s="2">
        <v>9</v>
      </c>
      <c r="B21" s="2">
        <v>0.5</v>
      </c>
      <c r="C21" s="2">
        <f t="shared" si="0"/>
        <v>0.0075</v>
      </c>
      <c r="D21" s="2">
        <f t="shared" si="1"/>
        <v>3</v>
      </c>
      <c r="E21" s="2">
        <f t="shared" si="2"/>
        <v>0.25</v>
      </c>
    </row>
    <row r="24" spans="1:5">
      <c r="A24" s="3"/>
      <c r="B24" s="3"/>
      <c r="C24" s="4" t="s">
        <v>5</v>
      </c>
      <c r="D24" s="4"/>
      <c r="E24" s="4"/>
    </row>
    <row r="25" spans="1:5">
      <c r="A25" s="1"/>
      <c r="B25" s="1"/>
      <c r="C25" s="1" t="s">
        <v>3</v>
      </c>
      <c r="D25" s="1" t="s">
        <v>2</v>
      </c>
      <c r="E25" s="1" t="s">
        <v>4</v>
      </c>
    </row>
    <row r="26" spans="1:8">
      <c r="A26" s="2"/>
      <c r="B26" s="2"/>
      <c r="C26" s="2">
        <f ca="1">OFFSET($D$2,COUNTA($D$2:$D$21)-ROW(D1),)</f>
        <v>3</v>
      </c>
      <c r="D26" s="2">
        <f ca="1">OFFSET($C$2,COUNTA($C$2:$C$21)-ROW(C1),)</f>
        <v>0.0075</v>
      </c>
      <c r="E26" s="2">
        <f ca="1">OFFSET($E$2,COUNTA($E$2:$E$21)-ROW(E1),)</f>
        <v>0.25</v>
      </c>
      <c r="G26" s="2"/>
      <c r="H26" s="2"/>
    </row>
    <row r="27" spans="1:5">
      <c r="A27" s="2"/>
      <c r="B27" s="2"/>
      <c r="C27" s="2">
        <f ca="1" t="shared" ref="C27:C45" si="3">OFFSET($D$2,COUNTA($D$2:$D$21)-ROW(D2),)</f>
        <v>23.6666666666667</v>
      </c>
      <c r="D27" s="2">
        <f ca="1" t="shared" ref="D27:D45" si="4">OFFSET($C$2,COUNTA($C$2:$C$21)-ROW(C2),)</f>
        <v>0.1305</v>
      </c>
      <c r="E27" s="2">
        <f ca="1" t="shared" ref="E27:E45" si="5">OFFSET($E$2,COUNTA($E$2:$E$21)-ROW(E2),)</f>
        <v>0.551408450704225</v>
      </c>
    </row>
    <row r="28" spans="1:5">
      <c r="A28" s="2"/>
      <c r="B28" s="2"/>
      <c r="C28" s="2">
        <f ca="1" t="shared" si="3"/>
        <v>50.6666666666667</v>
      </c>
      <c r="D28" s="2">
        <f ca="1" t="shared" si="4"/>
        <v>0.303</v>
      </c>
      <c r="E28" s="2">
        <f ca="1" t="shared" si="5"/>
        <v>0.598026315789474</v>
      </c>
    </row>
    <row r="29" spans="1:5">
      <c r="A29" s="2"/>
      <c r="B29" s="2"/>
      <c r="C29" s="2">
        <f ca="1" t="shared" si="3"/>
        <v>72</v>
      </c>
      <c r="D29" s="2">
        <f ca="1" t="shared" si="4"/>
        <v>0.4095</v>
      </c>
      <c r="E29" s="2">
        <f ca="1" t="shared" si="5"/>
        <v>0.56875</v>
      </c>
    </row>
    <row r="30" spans="1:5">
      <c r="A30" s="2"/>
      <c r="B30" s="2"/>
      <c r="C30" s="2">
        <f ca="1" t="shared" si="3"/>
        <v>99.3333333333333</v>
      </c>
      <c r="D30" s="2">
        <f ca="1" t="shared" si="4"/>
        <v>0.5115</v>
      </c>
      <c r="E30" s="2">
        <f ca="1" t="shared" si="5"/>
        <v>0.51493288590604</v>
      </c>
    </row>
    <row r="31" spans="1:5">
      <c r="A31" s="2"/>
      <c r="B31" s="2"/>
      <c r="C31" s="2">
        <f ca="1" t="shared" si="3"/>
        <v>121.666666666667</v>
      </c>
      <c r="D31" s="2">
        <f ca="1" t="shared" si="4"/>
        <v>0.579</v>
      </c>
      <c r="E31" s="2">
        <f ca="1" t="shared" si="5"/>
        <v>0.475890410958904</v>
      </c>
    </row>
    <row r="32" spans="1:5">
      <c r="A32" s="2"/>
      <c r="B32" s="2"/>
      <c r="C32" s="2">
        <f ca="1" t="shared" si="3"/>
        <v>143.333333333333</v>
      </c>
      <c r="D32" s="2">
        <f ca="1" t="shared" si="4"/>
        <v>0.6345</v>
      </c>
      <c r="E32" s="2">
        <f ca="1" t="shared" si="5"/>
        <v>0.442674418604651</v>
      </c>
    </row>
    <row r="33" spans="1:5">
      <c r="A33" s="2"/>
      <c r="B33" s="2"/>
      <c r="C33" s="2">
        <f ca="1" t="shared" si="3"/>
        <v>168.333333333333</v>
      </c>
      <c r="D33" s="2">
        <f ca="1" t="shared" si="4"/>
        <v>0.6885</v>
      </c>
      <c r="E33" s="2">
        <f ca="1" t="shared" si="5"/>
        <v>0.409009900990099</v>
      </c>
    </row>
    <row r="34" spans="1:5">
      <c r="A34" s="2"/>
      <c r="B34" s="2"/>
      <c r="C34" s="2">
        <f ca="1" t="shared" si="3"/>
        <v>189.666666666667</v>
      </c>
      <c r="D34" s="2">
        <f ca="1" t="shared" si="4"/>
        <v>0.7275</v>
      </c>
      <c r="E34" s="2">
        <f ca="1" t="shared" si="5"/>
        <v>0.383567662565905</v>
      </c>
    </row>
    <row r="35" spans="1:5">
      <c r="A35" s="2"/>
      <c r="B35" s="2"/>
      <c r="C35" s="2">
        <f ca="1" t="shared" si="3"/>
        <v>209.666666666667</v>
      </c>
      <c r="D35" s="2">
        <f ca="1" t="shared" si="4"/>
        <v>0.7605</v>
      </c>
      <c r="E35" s="2">
        <f ca="1" t="shared" si="5"/>
        <v>0.362718600953895</v>
      </c>
    </row>
    <row r="36" spans="1:5">
      <c r="A36" s="2"/>
      <c r="B36" s="2"/>
      <c r="C36" s="2">
        <f ca="1" t="shared" si="3"/>
        <v>234</v>
      </c>
      <c r="D36" s="2">
        <f ca="1" t="shared" si="4"/>
        <v>0.795</v>
      </c>
      <c r="E36" s="2">
        <f ca="1" t="shared" si="5"/>
        <v>0.33974358974359</v>
      </c>
    </row>
    <row r="37" spans="1:5">
      <c r="A37" s="2"/>
      <c r="B37" s="2"/>
      <c r="C37" s="2">
        <f ca="1" t="shared" si="3"/>
        <v>254</v>
      </c>
      <c r="D37" s="2">
        <f ca="1" t="shared" si="4"/>
        <v>0.8205</v>
      </c>
      <c r="E37" s="2">
        <f ca="1" t="shared" si="5"/>
        <v>0.323031496062992</v>
      </c>
    </row>
    <row r="38" spans="1:5">
      <c r="A38" s="2"/>
      <c r="B38" s="2"/>
      <c r="C38" s="2">
        <f ca="1" t="shared" si="3"/>
        <v>276.666666666667</v>
      </c>
      <c r="D38" s="2">
        <f ca="1" t="shared" si="4"/>
        <v>0.846</v>
      </c>
      <c r="E38" s="2">
        <f ca="1" t="shared" si="5"/>
        <v>0.30578313253012</v>
      </c>
    </row>
    <row r="39" spans="1:5">
      <c r="A39" s="2"/>
      <c r="B39" s="2"/>
      <c r="C39" s="2">
        <f ca="1" t="shared" si="3"/>
        <v>301</v>
      </c>
      <c r="D39" s="2">
        <f ca="1" t="shared" si="4"/>
        <v>0.8715</v>
      </c>
      <c r="E39" s="2">
        <f ca="1" t="shared" si="5"/>
        <v>0.28953488372093</v>
      </c>
    </row>
    <row r="40" spans="1:5">
      <c r="A40" s="2"/>
      <c r="B40" s="2"/>
      <c r="C40" s="2">
        <f ca="1" t="shared" si="3"/>
        <v>319.333333333333</v>
      </c>
      <c r="D40" s="2">
        <f ca="1" t="shared" si="4"/>
        <v>0.8895</v>
      </c>
      <c r="E40" s="2">
        <f ca="1" t="shared" si="5"/>
        <v>0.278549060542797</v>
      </c>
    </row>
    <row r="41" spans="1:5">
      <c r="A41" s="2"/>
      <c r="B41" s="2"/>
      <c r="C41" s="2">
        <f ca="1" t="shared" si="3"/>
        <v>337</v>
      </c>
      <c r="D41" s="2">
        <f ca="1" t="shared" si="4"/>
        <v>0.903</v>
      </c>
      <c r="E41" s="2">
        <f ca="1" t="shared" si="5"/>
        <v>0.267952522255193</v>
      </c>
    </row>
    <row r="42" spans="1:5">
      <c r="A42" s="2"/>
      <c r="B42" s="2"/>
      <c r="C42" s="2">
        <f ca="1" t="shared" si="3"/>
        <v>356.666666666667</v>
      </c>
      <c r="D42" s="2">
        <f ca="1" t="shared" si="4"/>
        <v>0.9195</v>
      </c>
      <c r="E42" s="2">
        <f ca="1" t="shared" si="5"/>
        <v>0.257803738317757</v>
      </c>
    </row>
    <row r="43" spans="1:5">
      <c r="A43" s="2"/>
      <c r="B43" s="2"/>
      <c r="C43" s="2">
        <f ca="1" t="shared" si="3"/>
        <v>378.666666666667</v>
      </c>
      <c r="D43" s="2">
        <f ca="1" t="shared" si="4"/>
        <v>0.936</v>
      </c>
      <c r="E43" s="2">
        <f ca="1" t="shared" si="5"/>
        <v>0.247183098591549</v>
      </c>
    </row>
    <row r="44" spans="1:5">
      <c r="A44" s="2"/>
      <c r="B44" s="2"/>
      <c r="C44" s="2">
        <f ca="1" t="shared" si="3"/>
        <v>403</v>
      </c>
      <c r="D44" s="2">
        <f ca="1" t="shared" si="4"/>
        <v>0.951</v>
      </c>
      <c r="E44" s="2">
        <f ca="1" t="shared" si="5"/>
        <v>0.235980148883375</v>
      </c>
    </row>
    <row r="45" spans="1:5">
      <c r="A45" s="2"/>
      <c r="B45" s="2"/>
      <c r="C45" s="2">
        <f ca="1" t="shared" si="3"/>
        <v>421</v>
      </c>
      <c r="D45" s="2">
        <f ca="1" t="shared" si="4"/>
        <v>0.963</v>
      </c>
      <c r="E45" s="2">
        <f ca="1" t="shared" si="5"/>
        <v>0.22874109263658</v>
      </c>
    </row>
    <row r="46" spans="1:1">
      <c r="A46" s="2"/>
    </row>
    <row r="49" spans="2:4">
      <c r="B49" s="4" t="s">
        <v>6</v>
      </c>
      <c r="C49" s="4"/>
      <c r="D49" s="4"/>
    </row>
    <row r="50" spans="3:5">
      <c r="C50" s="1" t="s">
        <v>2</v>
      </c>
      <c r="D50" s="1" t="s">
        <v>7</v>
      </c>
      <c r="E50" s="1" t="s">
        <v>8</v>
      </c>
    </row>
    <row r="51" spans="2:4">
      <c r="B51" t="s">
        <v>7</v>
      </c>
      <c r="C51">
        <v>0.495</v>
      </c>
      <c r="D51">
        <v>166.67</v>
      </c>
    </row>
    <row r="52" spans="3:4">
      <c r="C52">
        <v>0.315</v>
      </c>
      <c r="D52">
        <v>0</v>
      </c>
    </row>
    <row r="53" spans="3:4">
      <c r="C53">
        <v>0</v>
      </c>
      <c r="D53">
        <v>-100</v>
      </c>
    </row>
    <row r="54" spans="3:4">
      <c r="C54">
        <v>-0.495</v>
      </c>
      <c r="D54">
        <v>-166.67</v>
      </c>
    </row>
    <row r="55" spans="3:4">
      <c r="C55">
        <v>-0.315</v>
      </c>
      <c r="D55">
        <v>0</v>
      </c>
    </row>
    <row r="56" spans="3:4">
      <c r="C56">
        <v>0</v>
      </c>
      <c r="D56">
        <v>100</v>
      </c>
    </row>
    <row r="57" spans="3:4">
      <c r="C57">
        <v>0.495</v>
      </c>
      <c r="D57">
        <v>166.67</v>
      </c>
    </row>
    <row r="59" spans="2:5">
      <c r="B59" t="s">
        <v>8</v>
      </c>
      <c r="C59">
        <v>0.705</v>
      </c>
      <c r="E59">
        <v>180</v>
      </c>
    </row>
    <row r="60" spans="3:5">
      <c r="C60">
        <v>0.24</v>
      </c>
      <c r="E60">
        <v>0</v>
      </c>
    </row>
    <row r="61" spans="3:5">
      <c r="C61">
        <v>0</v>
      </c>
      <c r="E61">
        <v>-33.33</v>
      </c>
    </row>
    <row r="62" spans="3:5">
      <c r="C62">
        <v>-0.705</v>
      </c>
      <c r="E62">
        <v>-180</v>
      </c>
    </row>
    <row r="63" spans="3:5">
      <c r="C63">
        <v>-0.24</v>
      </c>
      <c r="E63">
        <v>0</v>
      </c>
    </row>
    <row r="64" spans="3:5">
      <c r="C64">
        <v>0</v>
      </c>
      <c r="E64">
        <v>33.33</v>
      </c>
    </row>
    <row r="65" spans="3:5">
      <c r="C65">
        <v>0.705</v>
      </c>
      <c r="E65">
        <v>180</v>
      </c>
    </row>
  </sheetData>
  <sortState ref="A2:B21">
    <sortCondition ref="B21"/>
  </sortState>
  <mergeCells count="2">
    <mergeCell ref="C24:E24"/>
    <mergeCell ref="B49:D49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Equation.KSEE3" r:id="rId3">
          <objectPr defaultSize="0" r:id="rId4">
            <anchor moveWithCells="1">
              <from>
                <xdr:col>10</xdr:col>
                <xdr:colOff>182880</xdr:colOff>
                <xdr:row>42</xdr:row>
                <xdr:rowOff>121920</xdr:rowOff>
              </from>
              <to>
                <xdr:col>11</xdr:col>
                <xdr:colOff>309880</xdr:colOff>
                <xdr:row>43</xdr:row>
                <xdr:rowOff>142240</xdr:rowOff>
              </to>
            </anchor>
          </objectPr>
        </oleObject>
      </mc:Choice>
      <mc:Fallback>
        <oleObject shapeId="1026" progId="Equation.KSEE3" r:id="rId3"/>
      </mc:Fallback>
    </mc:AlternateContent>
    <mc:AlternateContent xmlns:mc="http://schemas.openxmlformats.org/markup-compatibility/2006">
      <mc:Choice Requires="x14">
        <oleObject shapeId="1025" progId="Equation.KSEE3" r:id="rId5">
          <objectPr defaultSize="0" r:id="rId6">
            <anchor moveWithCells="1">
              <from>
                <xdr:col>6</xdr:col>
                <xdr:colOff>26670</xdr:colOff>
                <xdr:row>24</xdr:row>
                <xdr:rowOff>142875</xdr:rowOff>
              </from>
              <to>
                <xdr:col>8</xdr:col>
                <xdr:colOff>382270</xdr:colOff>
                <xdr:row>26</xdr:row>
                <xdr:rowOff>5715</xdr:rowOff>
              </to>
            </anchor>
          </objectPr>
        </oleObject>
      </mc:Choice>
      <mc:Fallback>
        <oleObject shapeId="1025" progId="Equation.KSEE3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陈煜祺</dc:creator>
  <cp:lastModifiedBy>die job</cp:lastModifiedBy>
  <dcterms:created xsi:type="dcterms:W3CDTF">2023-10-11T16:44:00Z</dcterms:created>
  <dcterms:modified xsi:type="dcterms:W3CDTF">2023-10-11T20:34:08Z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236D7C7899264509AC30D012B852A684_11</vt:lpwstr>
  </property>
  <property fmtid="{D5CDD505-2E9C-101B-9397-08002B2CF9AE}" pid="3" name="KSOProductBuildVer">
    <vt:lpwstr>2052-12.1.0.15712</vt:lpwstr>
  </property>
</Properties>
</file>